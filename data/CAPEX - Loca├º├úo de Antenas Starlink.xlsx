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egory.sylvestre\Downloads\Arquivos\Novos Negócios\Projeto Aluguel de Antenas Starlink\Roraima\Projeto 1 - 7 Antenas\"/>
    </mc:Choice>
  </mc:AlternateContent>
  <xr:revisionPtr revIDLastSave="0" documentId="13_ncr:1_{3B08DD2A-99C6-4DD8-A775-6CCDFED2280E}" xr6:coauthVersionLast="47" xr6:coauthVersionMax="47" xr10:uidLastSave="{00000000-0000-0000-0000-000000000000}"/>
  <bookViews>
    <workbookView xWindow="-20610" yWindow="2475" windowWidth="20730" windowHeight="11040" xr2:uid="{00000000-000D-0000-FFFF-FFFF00000000}"/>
  </bookViews>
  <sheets>
    <sheet name="UNIDADE" sheetId="1" r:id="rId1"/>
    <sheet name="BD" sheetId="2" state="hidden" r:id="rId2"/>
  </sheets>
  <definedNames>
    <definedName name="_xlnm._FilterDatabase" localSheetId="1" hidden="1">BD!$H$3:$H$23</definedName>
    <definedName name="_xlnm._FilterDatabase" localSheetId="0" hidden="1">UNIDADE!$B$4:$I$22</definedName>
    <definedName name="CONTRATO">BD!$H$4:$H$1163</definedName>
    <definedName name="MOTIVO">BD!$B$4:$B$10</definedName>
    <definedName name="TIPO">BD!$D$4:$D$5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17" i="1"/>
  <c r="I19" i="1"/>
  <c r="I15" i="1"/>
  <c r="I12" i="1"/>
  <c r="I10" i="1"/>
  <c r="I9" i="1"/>
  <c r="I18" i="1"/>
  <c r="I16" i="1"/>
  <c r="I6" i="1"/>
  <c r="I20" i="1" l="1"/>
  <c r="I21" i="1"/>
  <c r="I14" i="1"/>
  <c r="I13" i="1"/>
  <c r="I11" i="1"/>
  <c r="I8" i="1"/>
  <c r="I7" i="1"/>
  <c r="I5" i="1"/>
  <c r="I3" i="1" l="1"/>
</calcChain>
</file>

<file path=xl/sharedStrings.xml><?xml version="1.0" encoding="utf-8"?>
<sst xmlns="http://schemas.openxmlformats.org/spreadsheetml/2006/main" count="155" uniqueCount="69">
  <si>
    <t>PRODUTIVIDADE</t>
  </si>
  <si>
    <t>AMPLIAÇÃO</t>
  </si>
  <si>
    <t>REQUISITO LEGAL - SEGURANÇA</t>
  </si>
  <si>
    <t>OBRA</t>
  </si>
  <si>
    <t>REQUISITO LEGAL - AMBIENTAL</t>
  </si>
  <si>
    <t>Valor Target</t>
  </si>
  <si>
    <t>Total CAPEX</t>
  </si>
  <si>
    <t>NOME UNIDADE</t>
  </si>
  <si>
    <t>MOTIVO</t>
  </si>
  <si>
    <t>TIPO</t>
  </si>
  <si>
    <t xml:space="preserve">BPT </t>
  </si>
  <si>
    <t>MANUTENÇÃO</t>
  </si>
  <si>
    <t>BEM ESTAR</t>
  </si>
  <si>
    <t>MOTIVOS DISPONÍVEIS NA LISTA EXISTENTE NA PRÓPRIA CELULA</t>
  </si>
  <si>
    <t>VALOR TOTAL DO INVESTIMENTO EM MOEDA LOCAL</t>
  </si>
  <si>
    <t>XXX</t>
  </si>
  <si>
    <t>PRIORIDADE</t>
  </si>
  <si>
    <t>INADIÁVEL</t>
  </si>
  <si>
    <t>ADIÁVEL</t>
  </si>
  <si>
    <t>PRIORITÁRIO</t>
  </si>
  <si>
    <t>PRIORIDADES DISPONÍVEIS NA LISTA EXISTENTE NA PRÓPRIA CELULA</t>
  </si>
  <si>
    <t>CONTRATO AONDE SERÁ ALOCADO O CAPEX</t>
  </si>
  <si>
    <t>JUSTIFICATIVA</t>
  </si>
  <si>
    <t>RENOVAÇÃO</t>
  </si>
  <si>
    <t>ITEM</t>
  </si>
  <si>
    <t>QUANTIDADE</t>
  </si>
  <si>
    <t>OFICINA</t>
  </si>
  <si>
    <t>DSMI-MULTIFUNCIONAL</t>
  </si>
  <si>
    <t>CONTRATO</t>
  </si>
  <si>
    <t>DOT: MANUTENÇÃO PROGRAMADA</t>
  </si>
  <si>
    <t>DSC-INSPECAO-010</t>
  </si>
  <si>
    <t>LIES-MANAUS</t>
  </si>
  <si>
    <t>SMC-COMERCIAL</t>
  </si>
  <si>
    <t>FROTA</t>
  </si>
  <si>
    <t>PROJETO RESGATE DE RECEITA</t>
  </si>
  <si>
    <t>SERVIÇOS COMERCIAIS</t>
  </si>
  <si>
    <t>DIRETORIA TEC. OPER.</t>
  </si>
  <si>
    <t>ALMOXARIFADO</t>
  </si>
  <si>
    <t>OUTROS</t>
  </si>
  <si>
    <t>RORAIMA ENERGIA</t>
  </si>
  <si>
    <t>LIES-INTERIOR</t>
  </si>
  <si>
    <t>Manutenção Leve - RR</t>
  </si>
  <si>
    <t>Manutenção Pesada - RR</t>
  </si>
  <si>
    <t>AMAZONAS ENERGIA</t>
  </si>
  <si>
    <t>SESMT</t>
  </si>
  <si>
    <t>EXPANSÃO E BLINDAGEM</t>
  </si>
  <si>
    <t>MANUTENÇÃO EMERGENCIAL</t>
  </si>
  <si>
    <t>RORAIMA</t>
  </si>
  <si>
    <t>Antenas Mini Starlink</t>
  </si>
  <si>
    <t>Novas aquisições para atendimento de contrato de locação de antenas Starlink para Roraima Energia</t>
  </si>
  <si>
    <t>Case Antena</t>
  </si>
  <si>
    <t>Fusivel 25A</t>
  </si>
  <si>
    <t>Cabo de alimentacao 4mm preto</t>
  </si>
  <si>
    <t>Cabo de alimentacao 4mm vermelho</t>
  </si>
  <si>
    <t>Adaptador Starlink V3</t>
  </si>
  <si>
    <t>Conector Olhal</t>
  </si>
  <si>
    <t>Roteador Mikrotik</t>
  </si>
  <si>
    <t>Interruptor 12 V</t>
  </si>
  <si>
    <t>Cabo do interruptor pp</t>
  </si>
  <si>
    <t>Cabo Ethernet Cat6</t>
  </si>
  <si>
    <t>Tubo corrugado 10mm ou 20mm</t>
  </si>
  <si>
    <t>Parafuso sextavado</t>
  </si>
  <si>
    <t>Abraçadeira de nylon</t>
  </si>
  <si>
    <t>Fita isolante</t>
  </si>
  <si>
    <t>Equipamentos para instalação das antenas móveis da starlink</t>
  </si>
  <si>
    <t>Suporte articulado</t>
  </si>
  <si>
    <t>Equipamentos para instalação das antenas fixas da starlink</t>
  </si>
  <si>
    <t>Tubo Espaguete Termo Retrátil</t>
  </si>
  <si>
    <t>Porta Fusível de proteção para Circuito Eletrico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</si>
</sst>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#,##0&quot;m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6" fillId="2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3" fontId="0" fillId="0" borderId="4" xfId="0" applyNumberFormat="1" applyBorder="1" applyAlignment="1">
      <alignment horizontal="center" vertical="center" wrapText="1"/>
    </xf>
    <xf numFmtId="0" fontId="5" fillId="0" borderId="0" xfId="0" applyFont="1"/>
    <xf numFmtId="43" fontId="0" fillId="0" borderId="4" xfId="2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3">
    <cellStyle name="Moeda" xfId="1" builtinId="4"/>
    <cellStyle name="Normal" xfId="0" builtinId="0"/>
    <cellStyle name="Vírgula" xfId="2" builtinId="3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33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Norte_Tech">
      <a:dk1>
        <a:sysClr val="windowText" lastClr="000000"/>
      </a:dk1>
      <a:lt1>
        <a:sysClr val="window" lastClr="FFFFFF"/>
      </a:lt1>
      <a:dk2>
        <a:srgbClr val="222F64"/>
      </a:dk2>
      <a:lt2>
        <a:srgbClr val="E8E8E8"/>
      </a:lt2>
      <a:accent1>
        <a:srgbClr val="222F64"/>
      </a:accent1>
      <a:accent2>
        <a:srgbClr val="E4C62A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showGridLines="0" tabSelected="1" topLeftCell="A2" zoomScale="80" zoomScaleNormal="80" workbookViewId="0">
      <pane ySplit="3" topLeftCell="A5" activePane="bottomLeft" state="frozen"/>
      <selection activeCell="C2" sqref="C2"/>
      <selection pane="bottomLeft" activeCell="F3" sqref="F3"/>
    </sheetView>
  </sheetViews>
  <sheetFormatPr defaultColWidth="9.21875" defaultRowHeight="14.4" x14ac:dyDescent="0.3"/>
  <cols>
    <col min="1" max="1" width="1.21875" customWidth="1"/>
    <col min="2" max="2" width="16.44140625" customWidth="1"/>
    <col min="3" max="3" width="23" customWidth="1"/>
    <col min="4" max="4" width="31.5546875" customWidth="1"/>
    <col min="5" max="5" width="13.88671875" style="11" bestFit="1" customWidth="1"/>
    <col min="6" max="6" width="27.44140625" customWidth="1"/>
    <col min="7" max="7" width="63.21875" bestFit="1" customWidth="1"/>
    <col min="8" max="8" width="25.88671875" customWidth="1"/>
    <col min="9" max="9" width="22.21875" customWidth="1"/>
  </cols>
  <sheetData>
    <row r="2" spans="1:9" ht="31.2" x14ac:dyDescent="0.3">
      <c r="B2" s="1"/>
      <c r="C2" s="16"/>
      <c r="D2" s="16"/>
      <c r="E2" s="16"/>
      <c r="F2" s="16"/>
      <c r="G2" s="16"/>
      <c r="H2" s="3" t="s">
        <v>5</v>
      </c>
      <c r="I2" s="2" t="s">
        <v>15</v>
      </c>
    </row>
    <row r="3" spans="1:9" ht="18" x14ac:dyDescent="0.3">
      <c r="B3" s="1"/>
      <c r="C3" s="1"/>
      <c r="D3" s="1"/>
      <c r="E3" s="9"/>
      <c r="F3" s="1"/>
      <c r="G3" s="1"/>
      <c r="H3" s="3" t="s">
        <v>6</v>
      </c>
      <c r="I3" s="2">
        <f>SUBTOTAL(9,I5:I22)</f>
        <v>15189</v>
      </c>
    </row>
    <row r="4" spans="1:9" s="4" customFormat="1" ht="62.4" x14ac:dyDescent="0.3">
      <c r="B4" s="7" t="s">
        <v>7</v>
      </c>
      <c r="C4" s="7" t="s">
        <v>21</v>
      </c>
      <c r="D4" s="7" t="s">
        <v>24</v>
      </c>
      <c r="E4" s="10" t="s">
        <v>25</v>
      </c>
      <c r="F4" s="7" t="s">
        <v>13</v>
      </c>
      <c r="G4" s="7" t="s">
        <v>22</v>
      </c>
      <c r="H4" s="7" t="s">
        <v>20</v>
      </c>
      <c r="I4" s="7" t="s">
        <v>14</v>
      </c>
    </row>
    <row r="5" spans="1:9" ht="28.8" x14ac:dyDescent="0.3">
      <c r="A5" s="5"/>
      <c r="B5" s="8" t="s">
        <v>47</v>
      </c>
      <c r="C5" s="8" t="s">
        <v>39</v>
      </c>
      <c r="D5" s="8" t="s">
        <v>48</v>
      </c>
      <c r="E5" s="12">
        <v>7</v>
      </c>
      <c r="F5" s="8" t="s">
        <v>1</v>
      </c>
      <c r="G5" s="8" t="s">
        <v>49</v>
      </c>
      <c r="H5" s="8" t="s">
        <v>19</v>
      </c>
      <c r="I5" s="14">
        <f>1199*E5</f>
        <v>8393</v>
      </c>
    </row>
    <row r="6" spans="1:9" x14ac:dyDescent="0.3">
      <c r="B6" s="8" t="s">
        <v>47</v>
      </c>
      <c r="C6" s="8" t="s">
        <v>39</v>
      </c>
      <c r="D6" s="8" t="s">
        <v>50</v>
      </c>
      <c r="E6" s="12">
        <v>2</v>
      </c>
      <c r="F6" s="8" t="s">
        <v>1</v>
      </c>
      <c r="G6" s="8" t="s">
        <v>64</v>
      </c>
      <c r="H6" s="8" t="s">
        <v>19</v>
      </c>
      <c r="I6" s="14">
        <f>385*E6</f>
        <v>770</v>
      </c>
    </row>
    <row r="7" spans="1:9" ht="28.8" x14ac:dyDescent="0.3">
      <c r="B7" s="8" t="s">
        <v>47</v>
      </c>
      <c r="C7" s="8" t="s">
        <v>39</v>
      </c>
      <c r="D7" s="8" t="s">
        <v>68</v>
      </c>
      <c r="E7" s="12">
        <v>2</v>
      </c>
      <c r="F7" s="8" t="s">
        <v>1</v>
      </c>
      <c r="G7" s="8" t="s">
        <v>64</v>
      </c>
      <c r="H7" s="8" t="s">
        <v>19</v>
      </c>
      <c r="I7" s="14">
        <f>16*E7</f>
        <v>32</v>
      </c>
    </row>
    <row r="8" spans="1:9" x14ac:dyDescent="0.3">
      <c r="B8" s="8" t="s">
        <v>47</v>
      </c>
      <c r="C8" s="8" t="s">
        <v>39</v>
      </c>
      <c r="D8" s="8" t="s">
        <v>51</v>
      </c>
      <c r="E8" s="12">
        <v>4</v>
      </c>
      <c r="F8" s="8" t="s">
        <v>1</v>
      </c>
      <c r="G8" s="8" t="s">
        <v>64</v>
      </c>
      <c r="H8" s="8" t="s">
        <v>19</v>
      </c>
      <c r="I8" s="14">
        <f>2*E8</f>
        <v>8</v>
      </c>
    </row>
    <row r="9" spans="1:9" x14ac:dyDescent="0.3">
      <c r="B9" s="8" t="s">
        <v>47</v>
      </c>
      <c r="C9" s="8" t="s">
        <v>39</v>
      </c>
      <c r="D9" s="8" t="s">
        <v>52</v>
      </c>
      <c r="E9" s="15">
        <v>20</v>
      </c>
      <c r="F9" s="8" t="s">
        <v>1</v>
      </c>
      <c r="G9" s="8" t="s">
        <v>64</v>
      </c>
      <c r="H9" s="8" t="s">
        <v>19</v>
      </c>
      <c r="I9" s="14">
        <f>2.9*E9</f>
        <v>58</v>
      </c>
    </row>
    <row r="10" spans="1:9" x14ac:dyDescent="0.3">
      <c r="B10" s="8" t="s">
        <v>47</v>
      </c>
      <c r="C10" s="8" t="s">
        <v>39</v>
      </c>
      <c r="D10" s="8" t="s">
        <v>53</v>
      </c>
      <c r="E10" s="15">
        <v>20</v>
      </c>
      <c r="F10" s="8" t="s">
        <v>1</v>
      </c>
      <c r="G10" s="8" t="s">
        <v>64</v>
      </c>
      <c r="H10" s="8" t="s">
        <v>19</v>
      </c>
      <c r="I10" s="14">
        <f>2.9*E10</f>
        <v>58</v>
      </c>
    </row>
    <row r="11" spans="1:9" x14ac:dyDescent="0.3">
      <c r="B11" s="8" t="s">
        <v>47</v>
      </c>
      <c r="C11" s="8" t="s">
        <v>39</v>
      </c>
      <c r="D11" s="8" t="s">
        <v>54</v>
      </c>
      <c r="E11" s="12">
        <v>2</v>
      </c>
      <c r="F11" s="8" t="s">
        <v>1</v>
      </c>
      <c r="G11" s="8" t="s">
        <v>64</v>
      </c>
      <c r="H11" s="8" t="s">
        <v>19</v>
      </c>
      <c r="I11" s="14">
        <f>349*E11</f>
        <v>698</v>
      </c>
    </row>
    <row r="12" spans="1:9" x14ac:dyDescent="0.3">
      <c r="B12" s="8" t="s">
        <v>47</v>
      </c>
      <c r="C12" s="8" t="s">
        <v>39</v>
      </c>
      <c r="D12" s="8" t="s">
        <v>55</v>
      </c>
      <c r="E12" s="12">
        <v>200</v>
      </c>
      <c r="F12" s="8" t="s">
        <v>1</v>
      </c>
      <c r="G12" s="8" t="s">
        <v>64</v>
      </c>
      <c r="H12" s="8" t="s">
        <v>19</v>
      </c>
      <c r="I12" s="14">
        <f>0.6*E12</f>
        <v>120</v>
      </c>
    </row>
    <row r="13" spans="1:9" x14ac:dyDescent="0.3">
      <c r="B13" s="8" t="s">
        <v>47</v>
      </c>
      <c r="C13" s="8" t="s">
        <v>39</v>
      </c>
      <c r="D13" s="8" t="s">
        <v>57</v>
      </c>
      <c r="E13" s="12">
        <v>2</v>
      </c>
      <c r="F13" s="8" t="s">
        <v>1</v>
      </c>
      <c r="G13" s="8" t="s">
        <v>64</v>
      </c>
      <c r="H13" s="8" t="s">
        <v>19</v>
      </c>
      <c r="I13" s="14">
        <f>17*E13</f>
        <v>34</v>
      </c>
    </row>
    <row r="14" spans="1:9" x14ac:dyDescent="0.3">
      <c r="B14" s="8" t="s">
        <v>47</v>
      </c>
      <c r="C14" s="8" t="s">
        <v>39</v>
      </c>
      <c r="D14" s="8" t="s">
        <v>58</v>
      </c>
      <c r="E14" s="15">
        <v>2</v>
      </c>
      <c r="F14" s="8" t="s">
        <v>1</v>
      </c>
      <c r="G14" s="8" t="s">
        <v>64</v>
      </c>
      <c r="H14" s="8" t="s">
        <v>19</v>
      </c>
      <c r="I14" s="14">
        <f>5*E14</f>
        <v>10</v>
      </c>
    </row>
    <row r="15" spans="1:9" x14ac:dyDescent="0.3">
      <c r="B15" s="8" t="s">
        <v>47</v>
      </c>
      <c r="C15" s="8" t="s">
        <v>39</v>
      </c>
      <c r="D15" s="8" t="s">
        <v>60</v>
      </c>
      <c r="E15" s="15">
        <v>20</v>
      </c>
      <c r="F15" s="8" t="s">
        <v>1</v>
      </c>
      <c r="G15" s="8" t="s">
        <v>64</v>
      </c>
      <c r="H15" s="8" t="s">
        <v>19</v>
      </c>
      <c r="I15" s="14">
        <f>3.8*E15</f>
        <v>76</v>
      </c>
    </row>
    <row r="16" spans="1:9" x14ac:dyDescent="0.3">
      <c r="B16" s="8" t="s">
        <v>47</v>
      </c>
      <c r="C16" s="8" t="s">
        <v>39</v>
      </c>
      <c r="D16" s="8" t="s">
        <v>67</v>
      </c>
      <c r="E16" s="12">
        <v>5</v>
      </c>
      <c r="F16" s="8" t="s">
        <v>1</v>
      </c>
      <c r="G16" s="8" t="s">
        <v>64</v>
      </c>
      <c r="H16" s="8" t="s">
        <v>19</v>
      </c>
      <c r="I16" s="14">
        <f>5*6</f>
        <v>30</v>
      </c>
    </row>
    <row r="17" spans="2:9" x14ac:dyDescent="0.3">
      <c r="B17" s="8" t="s">
        <v>47</v>
      </c>
      <c r="C17" s="8" t="s">
        <v>39</v>
      </c>
      <c r="D17" s="8" t="s">
        <v>61</v>
      </c>
      <c r="E17" s="12">
        <v>8</v>
      </c>
      <c r="F17" s="8" t="s">
        <v>1</v>
      </c>
      <c r="G17" s="8" t="s">
        <v>64</v>
      </c>
      <c r="H17" s="8" t="s">
        <v>19</v>
      </c>
      <c r="I17" s="14">
        <f>1.5*E17</f>
        <v>12</v>
      </c>
    </row>
    <row r="18" spans="2:9" x14ac:dyDescent="0.3">
      <c r="B18" s="8" t="s">
        <v>47</v>
      </c>
      <c r="C18" s="8" t="s">
        <v>39</v>
      </c>
      <c r="D18" s="8" t="s">
        <v>62</v>
      </c>
      <c r="E18" s="12">
        <v>40</v>
      </c>
      <c r="F18" s="8" t="s">
        <v>1</v>
      </c>
      <c r="G18" s="8" t="s">
        <v>64</v>
      </c>
      <c r="H18" s="8" t="s">
        <v>19</v>
      </c>
      <c r="I18" s="14">
        <f>0.5*E18</f>
        <v>20</v>
      </c>
    </row>
    <row r="19" spans="2:9" x14ac:dyDescent="0.3">
      <c r="B19" s="8" t="s">
        <v>47</v>
      </c>
      <c r="C19" s="8" t="s">
        <v>39</v>
      </c>
      <c r="D19" s="8" t="s">
        <v>63</v>
      </c>
      <c r="E19" s="12">
        <v>4</v>
      </c>
      <c r="F19" s="8" t="s">
        <v>1</v>
      </c>
      <c r="G19" s="8" t="s">
        <v>64</v>
      </c>
      <c r="H19" s="8" t="s">
        <v>19</v>
      </c>
      <c r="I19" s="14">
        <f>5*E19</f>
        <v>20</v>
      </c>
    </row>
    <row r="20" spans="2:9" x14ac:dyDescent="0.3">
      <c r="B20" s="8" t="s">
        <v>47</v>
      </c>
      <c r="C20" s="8" t="s">
        <v>39</v>
      </c>
      <c r="D20" s="8" t="s">
        <v>56</v>
      </c>
      <c r="E20" s="12">
        <v>5</v>
      </c>
      <c r="F20" s="8" t="s">
        <v>1</v>
      </c>
      <c r="G20" s="8" t="s">
        <v>66</v>
      </c>
      <c r="H20" s="8" t="s">
        <v>19</v>
      </c>
      <c r="I20" s="14">
        <f>E20*800</f>
        <v>4000</v>
      </c>
    </row>
    <row r="21" spans="2:9" x14ac:dyDescent="0.3">
      <c r="B21" s="8" t="s">
        <v>47</v>
      </c>
      <c r="C21" s="8" t="s">
        <v>39</v>
      </c>
      <c r="D21" s="8" t="s">
        <v>59</v>
      </c>
      <c r="E21" s="15">
        <v>50</v>
      </c>
      <c r="F21" s="8" t="s">
        <v>1</v>
      </c>
      <c r="G21" s="8" t="s">
        <v>66</v>
      </c>
      <c r="H21" s="8" t="s">
        <v>19</v>
      </c>
      <c r="I21" s="14">
        <f>2*E21</f>
        <v>100</v>
      </c>
    </row>
    <row r="22" spans="2:9" x14ac:dyDescent="0.3">
      <c r="B22" s="8" t="s">
        <v>47</v>
      </c>
      <c r="C22" s="8" t="s">
        <v>39</v>
      </c>
      <c r="D22" s="8" t="s">
        <v>65</v>
      </c>
      <c r="E22" s="12">
        <v>5</v>
      </c>
      <c r="F22" s="8" t="s">
        <v>1</v>
      </c>
      <c r="G22" s="8" t="s">
        <v>66</v>
      </c>
      <c r="H22" s="8" t="s">
        <v>19</v>
      </c>
      <c r="I22" s="14">
        <f>150*E22</f>
        <v>750</v>
      </c>
    </row>
  </sheetData>
  <protectedRanges>
    <protectedRange sqref="F5:F22 H5:H22" name="Intervalo1_1"/>
  </protectedRanges>
  <autoFilter ref="B4:I22" xr:uid="{00000000-0001-0000-0000-000000000000}"/>
  <sortState xmlns:xlrd2="http://schemas.microsoft.com/office/spreadsheetml/2017/richdata2" ref="B4:I5">
    <sortCondition descending="1" ref="I4:I5"/>
  </sortState>
  <conditionalFormatting sqref="I2:I3">
    <cfRule type="cellIs" dxfId="1" priority="5" operator="greaterThan">
      <formula>$I$2</formula>
    </cfRule>
    <cfRule type="cellIs" dxfId="0" priority="6" operator="lessThanOrEqual">
      <formula>$I$2</formula>
    </cfRule>
  </conditionalFormatting>
  <dataValidations disablePrompts="1" count="2">
    <dataValidation type="list" allowBlank="1" showInputMessage="1" showErrorMessage="1" sqref="F5:F22" xr:uid="{00000000-0002-0000-0000-000000000000}">
      <formula1>MOTIVO</formula1>
    </dataValidation>
    <dataValidation type="list" allowBlank="1" showInputMessage="1" showErrorMessage="1" sqref="C5:C22" xr:uid="{B9DF943C-DC9D-41D5-B164-5E87A5A04FB1}">
      <formula1>CONTRATO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2000000}">
          <x14:formula1>
            <xm:f>BD!$F$4:$F$6</xm:f>
          </x14:formula1>
          <xm:sqref>H5:H22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3"/>
  <sheetViews>
    <sheetView showGridLines="0" workbookViewId="0"/>
  </sheetViews>
  <sheetFormatPr defaultRowHeight="14.4" x14ac:dyDescent="0.3"/>
  <cols>
    <col min="2" max="2" width="29.21875" bestFit="1" customWidth="1"/>
    <col min="4" max="4" width="15.44140625" customWidth="1"/>
    <col min="6" max="6" width="11.44140625" bestFit="1" customWidth="1"/>
    <col min="8" max="8" width="30.88671875" bestFit="1" customWidth="1"/>
  </cols>
  <sheetData>
    <row r="3" spans="2:8" x14ac:dyDescent="0.3">
      <c r="B3" s="6" t="s">
        <v>8</v>
      </c>
      <c r="D3" s="6" t="s">
        <v>9</v>
      </c>
      <c r="F3" s="6" t="s">
        <v>16</v>
      </c>
      <c r="H3" s="13" t="s">
        <v>28</v>
      </c>
    </row>
    <row r="4" spans="2:8" x14ac:dyDescent="0.3">
      <c r="B4" t="s">
        <v>1</v>
      </c>
      <c r="D4" t="s">
        <v>10</v>
      </c>
      <c r="F4" t="s">
        <v>17</v>
      </c>
      <c r="H4" t="s">
        <v>37</v>
      </c>
    </row>
    <row r="5" spans="2:8" x14ac:dyDescent="0.3">
      <c r="B5" t="s">
        <v>0</v>
      </c>
      <c r="D5" t="s">
        <v>3</v>
      </c>
      <c r="F5" t="s">
        <v>19</v>
      </c>
      <c r="H5" t="s">
        <v>43</v>
      </c>
    </row>
    <row r="6" spans="2:8" x14ac:dyDescent="0.3">
      <c r="B6" t="s">
        <v>11</v>
      </c>
      <c r="F6" t="s">
        <v>18</v>
      </c>
      <c r="H6" t="s">
        <v>36</v>
      </c>
    </row>
    <row r="7" spans="2:8" x14ac:dyDescent="0.3">
      <c r="B7" t="s">
        <v>4</v>
      </c>
      <c r="H7" t="s">
        <v>29</v>
      </c>
    </row>
    <row r="8" spans="2:8" x14ac:dyDescent="0.3">
      <c r="B8" t="s">
        <v>2</v>
      </c>
      <c r="H8" t="s">
        <v>46</v>
      </c>
    </row>
    <row r="9" spans="2:8" x14ac:dyDescent="0.3">
      <c r="B9" t="s">
        <v>12</v>
      </c>
      <c r="H9" t="s">
        <v>30</v>
      </c>
    </row>
    <row r="10" spans="2:8" x14ac:dyDescent="0.3">
      <c r="B10" t="s">
        <v>23</v>
      </c>
      <c r="H10" t="s">
        <v>27</v>
      </c>
    </row>
    <row r="11" spans="2:8" x14ac:dyDescent="0.3">
      <c r="H11" t="s">
        <v>45</v>
      </c>
    </row>
    <row r="12" spans="2:8" x14ac:dyDescent="0.3">
      <c r="H12" t="s">
        <v>33</v>
      </c>
    </row>
    <row r="13" spans="2:8" x14ac:dyDescent="0.3">
      <c r="H13" t="s">
        <v>40</v>
      </c>
    </row>
    <row r="14" spans="2:8" x14ac:dyDescent="0.3">
      <c r="H14" t="s">
        <v>31</v>
      </c>
    </row>
    <row r="15" spans="2:8" x14ac:dyDescent="0.3">
      <c r="H15" t="s">
        <v>41</v>
      </c>
    </row>
    <row r="16" spans="2:8" x14ac:dyDescent="0.3">
      <c r="H16" t="s">
        <v>42</v>
      </c>
    </row>
    <row r="17" spans="8:8" x14ac:dyDescent="0.3">
      <c r="H17" t="s">
        <v>26</v>
      </c>
    </row>
    <row r="18" spans="8:8" x14ac:dyDescent="0.3">
      <c r="H18" t="s">
        <v>38</v>
      </c>
    </row>
    <row r="19" spans="8:8" x14ac:dyDescent="0.3">
      <c r="H19" t="s">
        <v>34</v>
      </c>
    </row>
    <row r="20" spans="8:8" x14ac:dyDescent="0.3">
      <c r="H20" t="s">
        <v>39</v>
      </c>
    </row>
    <row r="21" spans="8:8" x14ac:dyDescent="0.3">
      <c r="H21" t="s">
        <v>35</v>
      </c>
    </row>
    <row r="22" spans="8:8" x14ac:dyDescent="0.3">
      <c r="H22" t="s">
        <v>44</v>
      </c>
    </row>
    <row r="23" spans="8:8" x14ac:dyDescent="0.3">
      <c r="H2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UNIDADE</vt:lpstr>
      <vt:lpstr>BD</vt:lpstr>
      <vt:lpstr>CONTRATO</vt:lpstr>
      <vt:lpstr>MOTIVO</vt:lpstr>
      <vt:lpstr>TIPO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Goncalves Barbosa</dc:creator>
  <cp:lastModifiedBy>TRANSPORTE NORTE TECH</cp:lastModifiedBy>
  <dcterms:created xsi:type="dcterms:W3CDTF">2019-09-04T18:29:30Z</dcterms:created>
  <dcterms:modified xsi:type="dcterms:W3CDTF">2026-01-29T22:42:14Z</dcterms:modified>
</cp:coreProperties>
</file>