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regory.sylvestre\Downloads\Arquivos\Orçamento\CAPEX\"/>
    </mc:Choice>
  </mc:AlternateContent>
  <xr:revisionPtr revIDLastSave="0" documentId="13_ncr:1_{CE2EF3AB-67ED-4B71-A0B4-4E86B15E71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NIDADE" sheetId="1" r:id="rId1"/>
    <sheet name="BD" sheetId="2" state="hidden" r:id="rId2"/>
  </sheets>
  <definedNames>
    <definedName name="_xlnm._FilterDatabase" localSheetId="1" hidden="1">BD!$H$3:$H$23</definedName>
    <definedName name="_xlnm._FilterDatabase" localSheetId="0" hidden="1">UNIDADE!$B$4:$J$28</definedName>
    <definedName name="CONTRATO">BD!$H$4:$H$1163</definedName>
    <definedName name="MOTIVO">BD!$B$4:$B$10</definedName>
    <definedName name="TIPO">BD!$D$4:$D$5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7" i="1"/>
  <c r="I5" i="1"/>
  <c r="I8" i="1"/>
  <c r="I11" i="1"/>
  <c r="I6" i="1"/>
  <c r="I12" i="1"/>
  <c r="I17" i="1"/>
  <c r="I18" i="1"/>
  <c r="I9" i="1"/>
  <c r="I16" i="1" l="1"/>
  <c r="I10" i="1"/>
  <c r="I13" i="1" l="1"/>
  <c r="I23" i="1"/>
  <c r="I22" i="1"/>
  <c r="I19" i="1"/>
  <c r="I28" i="1" l="1"/>
  <c r="I21" i="1"/>
  <c r="I26" i="1"/>
  <c r="I24" i="1"/>
  <c r="I15" i="1" l="1"/>
  <c r="I25" i="1"/>
  <c r="I27" i="1"/>
  <c r="I3" i="1" l="1"/>
</calcChain>
</file>

<file path=xl/sharedStrings.xml><?xml version="1.0" encoding="utf-8"?>
<sst xmlns="http://schemas.openxmlformats.org/spreadsheetml/2006/main" count="216" uniqueCount="80">
  <si>
    <t>PRODUTIVIDADE</t>
  </si>
  <si>
    <t>AMPLIAÇÃO</t>
  </si>
  <si>
    <t>REQUISITO LEGAL - SEGURANÇA</t>
  </si>
  <si>
    <t>OBRA</t>
  </si>
  <si>
    <t>REQUISITO LEGAL - AMBIENTAL</t>
  </si>
  <si>
    <t>Valor Target</t>
  </si>
  <si>
    <t>Total CAPEX</t>
  </si>
  <si>
    <t>NOME UNIDADE</t>
  </si>
  <si>
    <t>MOTIVO</t>
  </si>
  <si>
    <t>TIPO</t>
  </si>
  <si>
    <t xml:space="preserve">BPT </t>
  </si>
  <si>
    <t>MANUTENÇÃO</t>
  </si>
  <si>
    <t>BEM ESTAR</t>
  </si>
  <si>
    <t>MOTIVOS DISPONÍVEIS NA LISTA EXISTENTE NA PRÓPRIA CELULA</t>
  </si>
  <si>
    <t>VALOR TOTAL DO INVESTIMENTO EM MOEDA LOCAL</t>
  </si>
  <si>
    <t>XXX</t>
  </si>
  <si>
    <t>PRIORIDADE</t>
  </si>
  <si>
    <t>INADIÁVEL</t>
  </si>
  <si>
    <t>ADIÁVEL</t>
  </si>
  <si>
    <t>PRIORITÁRIO</t>
  </si>
  <si>
    <t>PRIORIDADES DISPONÍVEIS NA LISTA EXISTENTE NA PRÓPRIA CELULA</t>
  </si>
  <si>
    <t>CONTRATO AONDE SERÁ ALOCADO O CAPEX</t>
  </si>
  <si>
    <t>JUSTIFICATIVA</t>
  </si>
  <si>
    <t>RENOVAÇÃO</t>
  </si>
  <si>
    <t>ITEM</t>
  </si>
  <si>
    <t>QUANTIDADE</t>
  </si>
  <si>
    <t>Centralização do lavador</t>
  </si>
  <si>
    <t>Controle de acesso</t>
  </si>
  <si>
    <t>AMAZONAS</t>
  </si>
  <si>
    <t>SKY 18M CD</t>
  </si>
  <si>
    <t>Substituição de ativos com alto custo de manutenção e fim de vida útil, visando aumentar a disponibilidade da frota e reduzir o TCO.</t>
  </si>
  <si>
    <t>Adequação da infraestrutura ao crescimento do quadro de funcionários, garantindo condições dignas de higiene e conformidade com a NR-24.</t>
  </si>
  <si>
    <t>Restringir a circulação de pessoas não autorizadas em áreas críticas e almoxarifado, garantindo a proteção de ativos e estoque.</t>
  </si>
  <si>
    <t>Melhorar a circulação de ar e o conforto térmico no galpão, reduzindo a fadiga térmica e aumentando a produtividade da equipe operacional.</t>
  </si>
  <si>
    <t>Ampliação de banheiros (m²)</t>
  </si>
  <si>
    <t>Centralização para ganho de performance e melhor coordenação e distribuição das equipes.</t>
  </si>
  <si>
    <t>Climatizador de teto/parede</t>
  </si>
  <si>
    <t xml:space="preserve">Caçamba basculante </t>
  </si>
  <si>
    <t>Veículos foram retirados pelo antigo proprietário na cisão da Norte Tech</t>
  </si>
  <si>
    <t>OFICINA</t>
  </si>
  <si>
    <t>DSMI-MULTIFUNCIONAL</t>
  </si>
  <si>
    <t>CONTRATO</t>
  </si>
  <si>
    <t>DOT: MANUTENÇÃO PROGRAMADA</t>
  </si>
  <si>
    <t>DSC-INSPECAO-010</t>
  </si>
  <si>
    <t>LIES-MANAUS</t>
  </si>
  <si>
    <t>SMC-COMERCIAL</t>
  </si>
  <si>
    <t>FROTA</t>
  </si>
  <si>
    <t>PROJETO RESGATE DE RECEITA</t>
  </si>
  <si>
    <t>SERVIÇOS COMERCIAIS</t>
  </si>
  <si>
    <t>DIRETORIA TEC. OPER.</t>
  </si>
  <si>
    <t>ALMOXARIFADO</t>
  </si>
  <si>
    <t>OUTROS</t>
  </si>
  <si>
    <t>RORAIMA ENERGIA</t>
  </si>
  <si>
    <t>LIES-INTERIOR</t>
  </si>
  <si>
    <t>Manutenção Leve - RR</t>
  </si>
  <si>
    <t>Manutenção Pesada - RR</t>
  </si>
  <si>
    <t>AMAZONAS ENERGIA</t>
  </si>
  <si>
    <t>SESMT</t>
  </si>
  <si>
    <t>EXPANSÃO E BLINDAGEM</t>
  </si>
  <si>
    <t>MANUTENÇÃO EMERGENCIAL</t>
  </si>
  <si>
    <t>Sistema Anti Pombo</t>
  </si>
  <si>
    <t>Contrução de Telhados</t>
  </si>
  <si>
    <t>Evitar a entrada/permanência de pombos na oficina, e excesso de sujeira e limpezas</t>
  </si>
  <si>
    <t>Telhado do lado externo do predio da oficina e no estaciomaneto que fica em frente</t>
  </si>
  <si>
    <t>IMPLEMENTO</t>
  </si>
  <si>
    <t>PICAPE MÉDIA</t>
  </si>
  <si>
    <t>PICADOR</t>
  </si>
  <si>
    <t>CAMINHÃO</t>
  </si>
  <si>
    <t>LANCHA</t>
  </si>
  <si>
    <t>PASSEIO</t>
  </si>
  <si>
    <t>OBRA CIVIL</t>
  </si>
  <si>
    <t>CATEGORIA</t>
  </si>
  <si>
    <t>Caminhão (VW 17210/MB 1719)</t>
  </si>
  <si>
    <t>Picape Média 4x4 CD</t>
  </si>
  <si>
    <t>Picador (Reboque)</t>
  </si>
  <si>
    <t>SKY 13M CD</t>
  </si>
  <si>
    <t>Lancha 90HP</t>
  </si>
  <si>
    <t>MUNCK 12 TON</t>
  </si>
  <si>
    <t>Passeio (MOBI/POLO/C3)</t>
  </si>
  <si>
    <t>MUNCK 20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</si>
</sst>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6" fillId="2" borderId="3" xfId="0" applyNumberFormat="1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0" borderId="0" xfId="0" applyNumberFormat="1"/>
    <xf numFmtId="3" fontId="0" fillId="0" borderId="4" xfId="0" applyNumberFormat="1" applyBorder="1" applyAlignment="1">
      <alignment horizontal="center" vertical="center" wrapText="1"/>
    </xf>
    <xf numFmtId="0" fontId="5" fillId="0" borderId="0" xfId="0" applyFont="1"/>
    <xf numFmtId="43" fontId="0" fillId="0" borderId="4" xfId="2" applyFont="1" applyBorder="1" applyAlignment="1">
      <alignment horizontal="center" vertical="center" wrapText="1"/>
    </xf>
    <xf numFmtId="165" fontId="0" fillId="0" borderId="0" xfId="2" applyNumberFormat="1" applyFont="1"/>
    <xf numFmtId="10" fontId="0" fillId="0" borderId="0" xfId="3" applyNumberFormat="1" applyFont="1"/>
    <xf numFmtId="0" fontId="3" fillId="0" borderId="0" xfId="0" applyFont="1" applyAlignment="1">
      <alignment horizontal="center" vertical="center" wrapText="1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33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Norte_Tech">
      <a:dk1>
        <a:sysClr val="windowText" lastClr="000000"/>
      </a:dk1>
      <a:lt1>
        <a:sysClr val="window" lastClr="FFFFFF"/>
      </a:lt1>
      <a:dk2>
        <a:srgbClr val="222F64"/>
      </a:dk2>
      <a:lt2>
        <a:srgbClr val="E8E8E8"/>
      </a:lt2>
      <a:accent1>
        <a:srgbClr val="222F64"/>
      </a:accent1>
      <a:accent2>
        <a:srgbClr val="E4C62A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8"/>
  <sheetViews>
    <sheetView showGridLines="0" tabSelected="1" topLeftCell="A2" zoomScale="70" zoomScaleNormal="70" workbookViewId="0">
      <pane ySplit="3" topLeftCell="A5" activePane="bottomLeft" state="frozen"/>
      <selection activeCell="C2" sqref="C2"/>
      <selection pane="bottomLeft" activeCell="F5" sqref="F5"/>
    </sheetView>
  </sheetViews>
  <sheetFormatPr defaultColWidth="9.21875" defaultRowHeight="14.4" x14ac:dyDescent="0.3"/>
  <cols>
    <col min="1" max="1" width="3" customWidth="1"/>
    <col min="2" max="2" width="16.44140625" bestFit="1" customWidth="1"/>
    <col min="3" max="3" width="24.5546875" bestFit="1" customWidth="1"/>
    <col min="4" max="4" width="39" bestFit="1" customWidth="1"/>
    <col min="5" max="5" width="13.88671875" style="12" bestFit="1" customWidth="1"/>
    <col min="6" max="6" width="31.6640625" bestFit="1" customWidth="1"/>
    <col min="7" max="7" width="70.44140625" bestFit="1" customWidth="1"/>
    <col min="8" max="8" width="35.6640625" bestFit="1" customWidth="1"/>
    <col min="9" max="9" width="32.21875" customWidth="1"/>
    <col min="10" max="10" width="18.21875" bestFit="1" customWidth="1"/>
    <col min="11" max="11" width="15" bestFit="1" customWidth="1"/>
  </cols>
  <sheetData>
    <row r="2" spans="1:11" ht="31.2" x14ac:dyDescent="0.3">
      <c r="B2" s="1"/>
      <c r="C2" s="18"/>
      <c r="D2" s="18"/>
      <c r="E2" s="18"/>
      <c r="F2" s="18"/>
      <c r="G2" s="18"/>
      <c r="H2" s="3" t="s">
        <v>5</v>
      </c>
      <c r="I2" s="2" t="s">
        <v>15</v>
      </c>
    </row>
    <row r="3" spans="1:11" ht="18" x14ac:dyDescent="0.3">
      <c r="B3" s="1"/>
      <c r="C3" s="1"/>
      <c r="D3" s="1"/>
      <c r="E3" s="9"/>
      <c r="F3" s="1"/>
      <c r="G3" s="1"/>
      <c r="H3" s="3" t="s">
        <v>6</v>
      </c>
      <c r="I3" s="2">
        <f>SUBTOTAL(9,I5:I28)</f>
        <v>20664949.999999989</v>
      </c>
      <c r="J3" s="16"/>
      <c r="K3" s="17"/>
    </row>
    <row r="4" spans="1:11" s="4" customFormat="1" ht="46.8" x14ac:dyDescent="0.3">
      <c r="B4" s="7" t="s">
        <v>7</v>
      </c>
      <c r="C4" s="7" t="s">
        <v>21</v>
      </c>
      <c r="D4" s="7" t="s">
        <v>24</v>
      </c>
      <c r="E4" s="10" t="s">
        <v>25</v>
      </c>
      <c r="F4" s="7" t="s">
        <v>13</v>
      </c>
      <c r="G4" s="7" t="s">
        <v>22</v>
      </c>
      <c r="H4" s="7" t="s">
        <v>20</v>
      </c>
      <c r="I4" s="7" t="s">
        <v>14</v>
      </c>
      <c r="J4" s="7" t="s">
        <v>71</v>
      </c>
    </row>
    <row r="5" spans="1:11" ht="28.8" x14ac:dyDescent="0.3">
      <c r="A5" s="5"/>
      <c r="B5" s="8" t="s">
        <v>28</v>
      </c>
      <c r="C5" s="8" t="s">
        <v>42</v>
      </c>
      <c r="D5" s="8" t="s">
        <v>72</v>
      </c>
      <c r="E5" s="13">
        <v>19</v>
      </c>
      <c r="F5" s="8" t="s">
        <v>23</v>
      </c>
      <c r="G5" s="8" t="s">
        <v>30</v>
      </c>
      <c r="H5" s="8" t="s">
        <v>19</v>
      </c>
      <c r="I5" s="15">
        <f>388392.857142857*E5</f>
        <v>7379464.2857142827</v>
      </c>
      <c r="J5" s="15" t="s">
        <v>67</v>
      </c>
    </row>
    <row r="6" spans="1:11" ht="28.8" x14ac:dyDescent="0.3">
      <c r="A6" s="5"/>
      <c r="B6" s="8" t="s">
        <v>28</v>
      </c>
      <c r="C6" s="8" t="s">
        <v>50</v>
      </c>
      <c r="D6" s="8" t="s">
        <v>75</v>
      </c>
      <c r="E6" s="13">
        <v>16</v>
      </c>
      <c r="F6" s="8" t="s">
        <v>23</v>
      </c>
      <c r="G6" s="8" t="s">
        <v>30</v>
      </c>
      <c r="H6" s="8" t="s">
        <v>19</v>
      </c>
      <c r="I6" s="15">
        <f>234567.669172932*E6</f>
        <v>3753082.7067669118</v>
      </c>
      <c r="J6" s="15" t="s">
        <v>64</v>
      </c>
    </row>
    <row r="7" spans="1:11" ht="28.8" x14ac:dyDescent="0.3">
      <c r="A7" s="5"/>
      <c r="B7" s="8" t="s">
        <v>28</v>
      </c>
      <c r="C7" s="8" t="s">
        <v>46</v>
      </c>
      <c r="D7" s="8" t="s">
        <v>72</v>
      </c>
      <c r="E7" s="13">
        <v>6</v>
      </c>
      <c r="F7" s="8" t="s">
        <v>23</v>
      </c>
      <c r="G7" s="8" t="s">
        <v>30</v>
      </c>
      <c r="H7" s="8" t="s">
        <v>19</v>
      </c>
      <c r="I7" s="15">
        <f>388392.857142857*E7</f>
        <v>2330357.1428571418</v>
      </c>
      <c r="J7" s="15" t="s">
        <v>67</v>
      </c>
    </row>
    <row r="8" spans="1:11" ht="28.8" x14ac:dyDescent="0.3">
      <c r="A8" s="5"/>
      <c r="B8" s="8" t="s">
        <v>28</v>
      </c>
      <c r="C8" s="8" t="s">
        <v>50</v>
      </c>
      <c r="D8" s="8" t="s">
        <v>29</v>
      </c>
      <c r="E8" s="13">
        <v>3</v>
      </c>
      <c r="F8" s="8" t="s">
        <v>23</v>
      </c>
      <c r="G8" s="8" t="s">
        <v>30</v>
      </c>
      <c r="H8" s="8" t="s">
        <v>19</v>
      </c>
      <c r="I8" s="15">
        <f>385000*E8</f>
        <v>1155000</v>
      </c>
      <c r="J8" s="15" t="s">
        <v>64</v>
      </c>
    </row>
    <row r="9" spans="1:11" ht="28.8" x14ac:dyDescent="0.3">
      <c r="A9" s="5"/>
      <c r="B9" s="8" t="s">
        <v>28</v>
      </c>
      <c r="C9" s="8" t="s">
        <v>40</v>
      </c>
      <c r="D9" s="8" t="s">
        <v>76</v>
      </c>
      <c r="E9" s="13">
        <v>10</v>
      </c>
      <c r="F9" s="8" t="s">
        <v>23</v>
      </c>
      <c r="G9" s="8" t="s">
        <v>30</v>
      </c>
      <c r="H9" s="8" t="s">
        <v>19</v>
      </c>
      <c r="I9" s="15">
        <f>120000*E9</f>
        <v>1200000</v>
      </c>
      <c r="J9" s="15" t="s">
        <v>68</v>
      </c>
    </row>
    <row r="10" spans="1:11" ht="28.8" x14ac:dyDescent="0.3">
      <c r="A10" s="5"/>
      <c r="B10" s="8" t="s">
        <v>28</v>
      </c>
      <c r="C10" s="8" t="s">
        <v>42</v>
      </c>
      <c r="D10" s="8" t="s">
        <v>72</v>
      </c>
      <c r="E10" s="13">
        <v>2</v>
      </c>
      <c r="F10" s="8" t="s">
        <v>1</v>
      </c>
      <c r="G10" s="8" t="s">
        <v>38</v>
      </c>
      <c r="H10" s="8" t="s">
        <v>19</v>
      </c>
      <c r="I10" s="15">
        <f>390000*E10</f>
        <v>780000</v>
      </c>
      <c r="J10" s="15" t="s">
        <v>67</v>
      </c>
    </row>
    <row r="11" spans="1:11" ht="28.8" x14ac:dyDescent="0.3">
      <c r="A11" s="5"/>
      <c r="B11" s="8" t="s">
        <v>28</v>
      </c>
      <c r="C11" s="8" t="s">
        <v>46</v>
      </c>
      <c r="D11" s="8" t="s">
        <v>75</v>
      </c>
      <c r="E11" s="13">
        <v>3</v>
      </c>
      <c r="F11" s="8" t="s">
        <v>23</v>
      </c>
      <c r="G11" s="8" t="s">
        <v>30</v>
      </c>
      <c r="H11" s="8" t="s">
        <v>19</v>
      </c>
      <c r="I11" s="15">
        <f>234567.669172932*E11</f>
        <v>703703.00751879602</v>
      </c>
      <c r="J11" s="15" t="s">
        <v>64</v>
      </c>
    </row>
    <row r="12" spans="1:11" ht="28.8" x14ac:dyDescent="0.3">
      <c r="A12" s="5"/>
      <c r="B12" s="8" t="s">
        <v>28</v>
      </c>
      <c r="C12" s="8" t="s">
        <v>46</v>
      </c>
      <c r="D12" s="8" t="s">
        <v>79</v>
      </c>
      <c r="E12" s="13">
        <v>3</v>
      </c>
      <c r="F12" s="8" t="s">
        <v>23</v>
      </c>
      <c r="G12" s="8" t="s">
        <v>30</v>
      </c>
      <c r="H12" s="8" t="s">
        <v>19</v>
      </c>
      <c r="I12" s="15">
        <f>250000*E12</f>
        <v>750000</v>
      </c>
      <c r="J12" s="15" t="s">
        <v>64</v>
      </c>
    </row>
    <row r="13" spans="1:11" ht="28.8" x14ac:dyDescent="0.3">
      <c r="A13" s="5"/>
      <c r="B13" s="8" t="s">
        <v>28</v>
      </c>
      <c r="C13" s="8" t="s">
        <v>42</v>
      </c>
      <c r="D13" s="8" t="s">
        <v>73</v>
      </c>
      <c r="E13" s="11">
        <v>2</v>
      </c>
      <c r="F13" s="8" t="s">
        <v>1</v>
      </c>
      <c r="G13" s="8" t="s">
        <v>38</v>
      </c>
      <c r="H13" s="8" t="s">
        <v>19</v>
      </c>
      <c r="I13" s="15">
        <f>200000*E13</f>
        <v>400000</v>
      </c>
      <c r="J13" s="15" t="s">
        <v>65</v>
      </c>
    </row>
    <row r="14" spans="1:11" ht="28.8" x14ac:dyDescent="0.3">
      <c r="A14" s="5"/>
      <c r="B14" s="8" t="s">
        <v>28</v>
      </c>
      <c r="C14" s="8" t="s">
        <v>50</v>
      </c>
      <c r="D14" s="8" t="s">
        <v>72</v>
      </c>
      <c r="E14" s="13">
        <v>1</v>
      </c>
      <c r="F14" s="8" t="s">
        <v>23</v>
      </c>
      <c r="G14" s="8" t="s">
        <v>30</v>
      </c>
      <c r="H14" s="8" t="s">
        <v>19</v>
      </c>
      <c r="I14" s="15">
        <f>388392.857142857*E14</f>
        <v>388392.85714285698</v>
      </c>
      <c r="J14" s="15" t="s">
        <v>67</v>
      </c>
    </row>
    <row r="15" spans="1:11" ht="28.8" x14ac:dyDescent="0.3">
      <c r="A15" s="5"/>
      <c r="B15" s="8" t="s">
        <v>28</v>
      </c>
      <c r="C15" s="8" t="s">
        <v>42</v>
      </c>
      <c r="D15" s="8" t="s">
        <v>74</v>
      </c>
      <c r="E15" s="11">
        <v>1</v>
      </c>
      <c r="F15" s="8" t="s">
        <v>1</v>
      </c>
      <c r="G15" s="8" t="s">
        <v>38</v>
      </c>
      <c r="H15" s="8" t="s">
        <v>19</v>
      </c>
      <c r="I15" s="15">
        <f>350000*E15</f>
        <v>350000</v>
      </c>
      <c r="J15" s="15" t="s">
        <v>66</v>
      </c>
    </row>
    <row r="16" spans="1:11" ht="28.8" x14ac:dyDescent="0.3">
      <c r="A16" s="5"/>
      <c r="B16" s="8" t="s">
        <v>28</v>
      </c>
      <c r="C16" s="8" t="s">
        <v>42</v>
      </c>
      <c r="D16" s="8" t="s">
        <v>75</v>
      </c>
      <c r="E16" s="11">
        <v>1</v>
      </c>
      <c r="F16" s="8" t="s">
        <v>1</v>
      </c>
      <c r="G16" s="8" t="s">
        <v>38</v>
      </c>
      <c r="H16" s="8" t="s">
        <v>19</v>
      </c>
      <c r="I16" s="15">
        <f>280000*E16</f>
        <v>280000</v>
      </c>
      <c r="J16" s="15" t="s">
        <v>64</v>
      </c>
    </row>
    <row r="17" spans="1:10" ht="28.8" x14ac:dyDescent="0.3">
      <c r="A17" s="5"/>
      <c r="B17" s="8" t="s">
        <v>28</v>
      </c>
      <c r="C17" s="8" t="s">
        <v>50</v>
      </c>
      <c r="D17" s="8" t="s">
        <v>77</v>
      </c>
      <c r="E17" s="13">
        <v>1</v>
      </c>
      <c r="F17" s="8" t="s">
        <v>23</v>
      </c>
      <c r="G17" s="8" t="s">
        <v>30</v>
      </c>
      <c r="H17" s="8" t="s">
        <v>19</v>
      </c>
      <c r="I17" s="15">
        <f>230000*E17</f>
        <v>230000</v>
      </c>
      <c r="J17" s="15" t="s">
        <v>64</v>
      </c>
    </row>
    <row r="18" spans="1:10" ht="28.8" x14ac:dyDescent="0.3">
      <c r="A18" s="5"/>
      <c r="B18" s="8" t="s">
        <v>28</v>
      </c>
      <c r="C18" s="8" t="s">
        <v>59</v>
      </c>
      <c r="D18" s="8" t="s">
        <v>76</v>
      </c>
      <c r="E18" s="13">
        <v>2</v>
      </c>
      <c r="F18" s="8" t="s">
        <v>23</v>
      </c>
      <c r="G18" s="8" t="s">
        <v>30</v>
      </c>
      <c r="H18" s="8" t="s">
        <v>19</v>
      </c>
      <c r="I18" s="15">
        <f>120000*E18</f>
        <v>240000</v>
      </c>
      <c r="J18" s="15" t="s">
        <v>68</v>
      </c>
    </row>
    <row r="19" spans="1:10" ht="28.8" x14ac:dyDescent="0.3">
      <c r="A19" s="5"/>
      <c r="B19" s="8" t="s">
        <v>28</v>
      </c>
      <c r="C19" s="8" t="s">
        <v>59</v>
      </c>
      <c r="D19" s="8" t="s">
        <v>78</v>
      </c>
      <c r="E19" s="13">
        <v>3</v>
      </c>
      <c r="F19" s="8" t="s">
        <v>23</v>
      </c>
      <c r="G19" s="8" t="s">
        <v>30</v>
      </c>
      <c r="H19" s="8" t="s">
        <v>19</v>
      </c>
      <c r="I19" s="15">
        <f>68890*E19</f>
        <v>206670</v>
      </c>
      <c r="J19" s="15" t="s">
        <v>69</v>
      </c>
    </row>
    <row r="20" spans="1:10" ht="28.8" x14ac:dyDescent="0.3">
      <c r="A20" s="5"/>
      <c r="B20" s="8" t="s">
        <v>28</v>
      </c>
      <c r="C20" s="8" t="s">
        <v>42</v>
      </c>
      <c r="D20" s="8" t="s">
        <v>37</v>
      </c>
      <c r="E20" s="11">
        <v>1</v>
      </c>
      <c r="F20" s="8" t="s">
        <v>1</v>
      </c>
      <c r="G20" s="8" t="s">
        <v>38</v>
      </c>
      <c r="H20" s="8" t="s">
        <v>19</v>
      </c>
      <c r="I20" s="15">
        <v>200000</v>
      </c>
      <c r="J20" s="15" t="s">
        <v>64</v>
      </c>
    </row>
    <row r="21" spans="1:10" ht="28.8" x14ac:dyDescent="0.3">
      <c r="A21" s="5"/>
      <c r="B21" s="8" t="s">
        <v>28</v>
      </c>
      <c r="C21" s="8" t="s">
        <v>39</v>
      </c>
      <c r="D21" s="8" t="s">
        <v>61</v>
      </c>
      <c r="E21" s="13">
        <v>2</v>
      </c>
      <c r="F21" s="8" t="s">
        <v>11</v>
      </c>
      <c r="G21" s="8" t="s">
        <v>63</v>
      </c>
      <c r="H21" s="8" t="s">
        <v>17</v>
      </c>
      <c r="I21" s="15">
        <f>40000*E21</f>
        <v>80000</v>
      </c>
      <c r="J21" s="15" t="s">
        <v>70</v>
      </c>
    </row>
    <row r="22" spans="1:10" ht="28.8" x14ac:dyDescent="0.3">
      <c r="A22" s="5"/>
      <c r="B22" s="8" t="s">
        <v>28</v>
      </c>
      <c r="C22" s="8" t="s">
        <v>46</v>
      </c>
      <c r="D22" s="8" t="s">
        <v>78</v>
      </c>
      <c r="E22" s="13">
        <v>1</v>
      </c>
      <c r="F22" s="8" t="s">
        <v>23</v>
      </c>
      <c r="G22" s="8" t="s">
        <v>30</v>
      </c>
      <c r="H22" s="8" t="s">
        <v>19</v>
      </c>
      <c r="I22" s="15">
        <f>68890*E22</f>
        <v>68890</v>
      </c>
      <c r="J22" s="15" t="s">
        <v>69</v>
      </c>
    </row>
    <row r="23" spans="1:10" ht="28.8" x14ac:dyDescent="0.3">
      <c r="A23" s="5"/>
      <c r="B23" s="8" t="s">
        <v>28</v>
      </c>
      <c r="C23" s="8" t="s">
        <v>42</v>
      </c>
      <c r="D23" s="8" t="s">
        <v>78</v>
      </c>
      <c r="E23" s="13">
        <v>1</v>
      </c>
      <c r="F23" s="8" t="s">
        <v>23</v>
      </c>
      <c r="G23" s="8" t="s">
        <v>30</v>
      </c>
      <c r="H23" s="8" t="s">
        <v>19</v>
      </c>
      <c r="I23" s="15">
        <f>68890*E23</f>
        <v>68890</v>
      </c>
      <c r="J23" s="15" t="s">
        <v>69</v>
      </c>
    </row>
    <row r="24" spans="1:10" ht="28.8" x14ac:dyDescent="0.3">
      <c r="B24" s="8" t="s">
        <v>28</v>
      </c>
      <c r="C24" s="8" t="s">
        <v>39</v>
      </c>
      <c r="D24" s="8" t="s">
        <v>26</v>
      </c>
      <c r="E24" s="13">
        <v>1</v>
      </c>
      <c r="F24" s="8" t="s">
        <v>0</v>
      </c>
      <c r="G24" s="8" t="s">
        <v>35</v>
      </c>
      <c r="H24" s="8" t="s">
        <v>17</v>
      </c>
      <c r="I24" s="15">
        <f>40000*E24</f>
        <v>40000</v>
      </c>
      <c r="J24" s="15" t="s">
        <v>70</v>
      </c>
    </row>
    <row r="25" spans="1:10" ht="28.8" x14ac:dyDescent="0.3">
      <c r="B25" s="8" t="s">
        <v>28</v>
      </c>
      <c r="C25" s="8" t="s">
        <v>39</v>
      </c>
      <c r="D25" s="8" t="s">
        <v>36</v>
      </c>
      <c r="E25" s="11">
        <v>5</v>
      </c>
      <c r="F25" s="8" t="s">
        <v>12</v>
      </c>
      <c r="G25" s="8" t="s">
        <v>33</v>
      </c>
      <c r="H25" s="8" t="s">
        <v>17</v>
      </c>
      <c r="I25" s="15">
        <f>5000*E25</f>
        <v>25000</v>
      </c>
      <c r="J25" s="15" t="s">
        <v>70</v>
      </c>
    </row>
    <row r="26" spans="1:10" ht="28.8" x14ac:dyDescent="0.3">
      <c r="B26" s="8" t="s">
        <v>28</v>
      </c>
      <c r="C26" s="8" t="s">
        <v>39</v>
      </c>
      <c r="D26" s="8" t="s">
        <v>34</v>
      </c>
      <c r="E26" s="13">
        <v>1</v>
      </c>
      <c r="F26" s="8" t="s">
        <v>12</v>
      </c>
      <c r="G26" s="8" t="s">
        <v>31</v>
      </c>
      <c r="H26" s="8" t="s">
        <v>17</v>
      </c>
      <c r="I26" s="15">
        <f>22500*E26</f>
        <v>22500</v>
      </c>
      <c r="J26" s="15" t="s">
        <v>70</v>
      </c>
    </row>
    <row r="27" spans="1:10" ht="28.8" x14ac:dyDescent="0.3">
      <c r="B27" s="8" t="s">
        <v>28</v>
      </c>
      <c r="C27" s="8" t="s">
        <v>39</v>
      </c>
      <c r="D27" s="8" t="s">
        <v>27</v>
      </c>
      <c r="E27" s="11">
        <v>1</v>
      </c>
      <c r="F27" s="8" t="s">
        <v>11</v>
      </c>
      <c r="G27" s="8" t="s">
        <v>32</v>
      </c>
      <c r="H27" s="8" t="s">
        <v>17</v>
      </c>
      <c r="I27" s="15">
        <f>8000*E27</f>
        <v>8000</v>
      </c>
      <c r="J27" s="15" t="s">
        <v>70</v>
      </c>
    </row>
    <row r="28" spans="1:10" ht="28.8" x14ac:dyDescent="0.3">
      <c r="B28" s="8" t="s">
        <v>28</v>
      </c>
      <c r="C28" s="8" t="s">
        <v>39</v>
      </c>
      <c r="D28" s="8" t="s">
        <v>60</v>
      </c>
      <c r="E28" s="13">
        <v>1</v>
      </c>
      <c r="F28" s="8" t="s">
        <v>11</v>
      </c>
      <c r="G28" s="8" t="s">
        <v>62</v>
      </c>
      <c r="H28" s="8" t="s">
        <v>17</v>
      </c>
      <c r="I28" s="15">
        <f>5000*E28</f>
        <v>5000</v>
      </c>
      <c r="J28" s="15" t="s">
        <v>70</v>
      </c>
    </row>
  </sheetData>
  <protectedRanges>
    <protectedRange sqref="F5:F28 H5:H28" name="Intervalo1_1"/>
  </protectedRanges>
  <autoFilter ref="B4:J28" xr:uid="{00000000-0001-0000-0000-000000000000}"/>
  <sortState xmlns:xlrd2="http://schemas.microsoft.com/office/spreadsheetml/2017/richdata2" ref="B4:I23">
    <sortCondition descending="1" ref="I4:I23"/>
  </sortState>
  <mergeCells count="1">
    <mergeCell ref="C2:G2"/>
  </mergeCells>
  <conditionalFormatting sqref="I2:I3">
    <cfRule type="cellIs" dxfId="1" priority="5" operator="greaterThan">
      <formula>$I$2</formula>
    </cfRule>
    <cfRule type="cellIs" dxfId="0" priority="6" operator="lessThanOrEqual">
      <formula>$I$2</formula>
    </cfRule>
  </conditionalFormatting>
  <dataValidations count="2">
    <dataValidation type="list" allowBlank="1" showInputMessage="1" showErrorMessage="1" sqref="F5:F28" xr:uid="{00000000-0002-0000-0000-000000000000}">
      <formula1>MOTIVO</formula1>
    </dataValidation>
    <dataValidation type="list" allowBlank="1" showInputMessage="1" showErrorMessage="1" sqref="C5:C28" xr:uid="{B9DF943C-DC9D-41D5-B164-5E87A5A04FB1}">
      <formula1>CONTRATO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BD!$F$4:$F$6</xm:f>
          </x14:formula1>
          <xm:sqref>H5:H28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3"/>
  <sheetViews>
    <sheetView showGridLines="0" workbookViewId="0"/>
  </sheetViews>
  <sheetFormatPr defaultRowHeight="14.4" x14ac:dyDescent="0.3"/>
  <cols>
    <col min="2" max="2" width="29.21875" bestFit="1" customWidth="1"/>
    <col min="4" max="4" width="15.44140625" customWidth="1"/>
    <col min="6" max="6" width="11.44140625" bestFit="1" customWidth="1"/>
    <col min="8" max="8" width="30.88671875" bestFit="1" customWidth="1"/>
  </cols>
  <sheetData>
    <row r="3" spans="2:8" x14ac:dyDescent="0.3">
      <c r="B3" s="6" t="s">
        <v>8</v>
      </c>
      <c r="D3" s="6" t="s">
        <v>9</v>
      </c>
      <c r="F3" s="6" t="s">
        <v>16</v>
      </c>
      <c r="H3" s="14" t="s">
        <v>41</v>
      </c>
    </row>
    <row r="4" spans="2:8" x14ac:dyDescent="0.3">
      <c r="B4" t="s">
        <v>1</v>
      </c>
      <c r="D4" t="s">
        <v>10</v>
      </c>
      <c r="F4" t="s">
        <v>17</v>
      </c>
      <c r="H4" t="s">
        <v>50</v>
      </c>
    </row>
    <row r="5" spans="2:8" x14ac:dyDescent="0.3">
      <c r="B5" t="s">
        <v>0</v>
      </c>
      <c r="D5" t="s">
        <v>3</v>
      </c>
      <c r="F5" t="s">
        <v>19</v>
      </c>
      <c r="H5" t="s">
        <v>56</v>
      </c>
    </row>
    <row r="6" spans="2:8" x14ac:dyDescent="0.3">
      <c r="B6" t="s">
        <v>11</v>
      </c>
      <c r="F6" t="s">
        <v>18</v>
      </c>
      <c r="H6" t="s">
        <v>49</v>
      </c>
    </row>
    <row r="7" spans="2:8" x14ac:dyDescent="0.3">
      <c r="B7" t="s">
        <v>4</v>
      </c>
      <c r="H7" t="s">
        <v>42</v>
      </c>
    </row>
    <row r="8" spans="2:8" x14ac:dyDescent="0.3">
      <c r="B8" t="s">
        <v>2</v>
      </c>
      <c r="H8" t="s">
        <v>59</v>
      </c>
    </row>
    <row r="9" spans="2:8" x14ac:dyDescent="0.3">
      <c r="B9" t="s">
        <v>12</v>
      </c>
      <c r="H9" t="s">
        <v>43</v>
      </c>
    </row>
    <row r="10" spans="2:8" x14ac:dyDescent="0.3">
      <c r="B10" t="s">
        <v>23</v>
      </c>
      <c r="H10" t="s">
        <v>40</v>
      </c>
    </row>
    <row r="11" spans="2:8" x14ac:dyDescent="0.3">
      <c r="H11" t="s">
        <v>58</v>
      </c>
    </row>
    <row r="12" spans="2:8" x14ac:dyDescent="0.3">
      <c r="H12" t="s">
        <v>46</v>
      </c>
    </row>
    <row r="13" spans="2:8" x14ac:dyDescent="0.3">
      <c r="H13" t="s">
        <v>53</v>
      </c>
    </row>
    <row r="14" spans="2:8" x14ac:dyDescent="0.3">
      <c r="H14" t="s">
        <v>44</v>
      </c>
    </row>
    <row r="15" spans="2:8" x14ac:dyDescent="0.3">
      <c r="H15" t="s">
        <v>54</v>
      </c>
    </row>
    <row r="16" spans="2:8" x14ac:dyDescent="0.3">
      <c r="H16" t="s">
        <v>55</v>
      </c>
    </row>
    <row r="17" spans="8:8" x14ac:dyDescent="0.3">
      <c r="H17" t="s">
        <v>39</v>
      </c>
    </row>
    <row r="18" spans="8:8" x14ac:dyDescent="0.3">
      <c r="H18" t="s">
        <v>51</v>
      </c>
    </row>
    <row r="19" spans="8:8" x14ac:dyDescent="0.3">
      <c r="H19" t="s">
        <v>47</v>
      </c>
    </row>
    <row r="20" spans="8:8" x14ac:dyDescent="0.3">
      <c r="H20" t="s">
        <v>52</v>
      </c>
    </row>
    <row r="21" spans="8:8" x14ac:dyDescent="0.3">
      <c r="H21" t="s">
        <v>48</v>
      </c>
    </row>
    <row r="22" spans="8:8" x14ac:dyDescent="0.3">
      <c r="H22" t="s">
        <v>57</v>
      </c>
    </row>
    <row r="23" spans="8:8" x14ac:dyDescent="0.3">
      <c r="H23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UNIDADE</vt:lpstr>
      <vt:lpstr>BD</vt:lpstr>
      <vt:lpstr>CONTRATO</vt:lpstr>
      <vt:lpstr>MOTIVO</vt:lpstr>
      <vt:lpstr>TIPO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Goncalves Barbosa</dc:creator>
  <cp:lastModifiedBy>TRANSPORTE NORTE TECH</cp:lastModifiedBy>
  <dcterms:created xsi:type="dcterms:W3CDTF">2019-09-04T18:29:30Z</dcterms:created>
  <dcterms:modified xsi:type="dcterms:W3CDTF">2026-02-11T04:47:01Z</dcterms:modified>
</cp:coreProperties>
</file>